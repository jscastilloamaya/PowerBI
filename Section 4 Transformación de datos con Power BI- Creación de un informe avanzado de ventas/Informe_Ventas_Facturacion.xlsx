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PERVISOR\Desktop\PowerBi Udemy\Section 4 Transformación de datos con Power BI- Creación de un informe avanzado de ventas\"/>
    </mc:Choice>
  </mc:AlternateContent>
  <xr:revisionPtr revIDLastSave="0" documentId="13_ncr:1_{C30FD18A-8D58-4D6E-95BB-7263A0D79EFF}" xr6:coauthVersionLast="47" xr6:coauthVersionMax="47" xr10:uidLastSave="{00000000-0000-0000-0000-000000000000}"/>
  <bookViews>
    <workbookView xWindow="-28920" yWindow="-2760" windowWidth="29040" windowHeight="15720" xr2:uid="{00000000-000D-0000-FFFF-FFFF00000000}"/>
  </bookViews>
  <sheets>
    <sheet name="Presupuesto" sheetId="1" r:id="rId1"/>
    <sheet name="Region_Oes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2" i="1" l="1"/>
  <c r="P23" i="1"/>
  <c r="P24" i="1"/>
  <c r="P25" i="1"/>
  <c r="P21" i="1"/>
  <c r="P14" i="1"/>
  <c r="P15" i="1"/>
  <c r="P16" i="1"/>
  <c r="P17" i="1"/>
  <c r="P13" i="1"/>
  <c r="P6" i="1"/>
  <c r="P7" i="1"/>
  <c r="P8" i="1"/>
  <c r="P9" i="1"/>
  <c r="P5" i="1"/>
</calcChain>
</file>

<file path=xl/sharedStrings.xml><?xml version="1.0" encoding="utf-8"?>
<sst xmlns="http://schemas.openxmlformats.org/spreadsheetml/2006/main" count="140" uniqueCount="98">
  <si>
    <t>Categoría</t>
  </si>
  <si>
    <t>Subcategoría</t>
  </si>
  <si>
    <t>Nombre del Producto</t>
  </si>
  <si>
    <t>Accesorios</t>
  </si>
  <si>
    <t>Subtotal Accesorios</t>
  </si>
  <si>
    <t>Bicicletas</t>
  </si>
  <si>
    <t>Subtotal Bicicletas</t>
  </si>
  <si>
    <t>Ropa</t>
  </si>
  <si>
    <t>Subtotal Ropa</t>
  </si>
  <si>
    <t>Total General</t>
  </si>
  <si>
    <t>Portabicicletas</t>
  </si>
  <si>
    <t>Botellas</t>
  </si>
  <si>
    <t>Cascos</t>
  </si>
  <si>
    <t>Luces</t>
  </si>
  <si>
    <t>Guardabarros</t>
  </si>
  <si>
    <t>Montaña</t>
  </si>
  <si>
    <t>Carretera</t>
  </si>
  <si>
    <t>Infantil</t>
  </si>
  <si>
    <t>Plegable</t>
  </si>
  <si>
    <t>Electrónica</t>
  </si>
  <si>
    <t>Camisetas</t>
  </si>
  <si>
    <t>Pantalones</t>
  </si>
  <si>
    <t>Guantes</t>
  </si>
  <si>
    <t>Calcetines</t>
  </si>
  <si>
    <t>Gorras</t>
  </si>
  <si>
    <t>Rack-4-Bike</t>
  </si>
  <si>
    <t>Bottle 30 oz.</t>
  </si>
  <si>
    <t>Helmet, Red</t>
  </si>
  <si>
    <t>Lights Set</t>
  </si>
  <si>
    <t>Fender Set</t>
  </si>
  <si>
    <t>Mountain-100</t>
  </si>
  <si>
    <t>Road-150</t>
  </si>
  <si>
    <t>Kids-150</t>
  </si>
  <si>
    <t>Folding-120</t>
  </si>
  <si>
    <t>E-Bike-200</t>
  </si>
  <si>
    <t>T-shirt, S</t>
  </si>
  <si>
    <t>Shorts, M</t>
  </si>
  <si>
    <t>Gloves, S</t>
  </si>
  <si>
    <t>Socks, L</t>
  </si>
  <si>
    <t>Cap, L</t>
  </si>
  <si>
    <t>Total</t>
  </si>
  <si>
    <t>Datos de Ventas y Facturación Empresa</t>
  </si>
  <si>
    <t>Autor: Santiago Hernández Ramos</t>
  </si>
  <si>
    <t>Documento confidencial</t>
  </si>
  <si>
    <t>1.075.773 euros</t>
  </si>
  <si>
    <t>1.033.083 euros</t>
  </si>
  <si>
    <t>1.134.261 euros</t>
  </si>
  <si>
    <t>1.236.376 euros</t>
  </si>
  <si>
    <t>1.379.326 euros</t>
  </si>
  <si>
    <t>1.482.465 euros</t>
  </si>
  <si>
    <t>1.577.070 euros</t>
  </si>
  <si>
    <t>1.686.664 euros</t>
  </si>
  <si>
    <t>1.792.664 euros</t>
  </si>
  <si>
    <t>1.901.794 euros</t>
  </si>
  <si>
    <t>1.990.002 euros</t>
  </si>
  <si>
    <t>2.111.646 euros</t>
  </si>
  <si>
    <t>18.401.124 euros</t>
  </si>
  <si>
    <t>Enero, 2024</t>
  </si>
  <si>
    <t>Febrero, 2024</t>
  </si>
  <si>
    <t>Marzo, 2024</t>
  </si>
  <si>
    <t>Abril, 2024</t>
  </si>
  <si>
    <t>Mayo, 2024</t>
  </si>
  <si>
    <t>Junio, 2024</t>
  </si>
  <si>
    <t>Julio, 2024</t>
  </si>
  <si>
    <t>Agosto, 2024</t>
  </si>
  <si>
    <t>Septiembre, 2024</t>
  </si>
  <si>
    <t>Octubre, 2024</t>
  </si>
  <si>
    <t>Noviembre, 2024</t>
  </si>
  <si>
    <t>Diciembre, 2024</t>
  </si>
  <si>
    <t>3551 euros</t>
  </si>
  <si>
    <t>1150 euros</t>
  </si>
  <si>
    <t>7700 euros</t>
  </si>
  <si>
    <t>1800 euros</t>
  </si>
  <si>
    <t>900 euros</t>
  </si>
  <si>
    <t>878893 euros</t>
  </si>
  <si>
    <t>502450 euros</t>
  </si>
  <si>
    <t>267451 euros</t>
  </si>
  <si>
    <t>201050 euros</t>
  </si>
  <si>
    <t>241110 euros</t>
  </si>
  <si>
    <t>1391 euros</t>
  </si>
  <si>
    <t>1100 euros</t>
  </si>
  <si>
    <t>1200 euros</t>
  </si>
  <si>
    <t>850 euros</t>
  </si>
  <si>
    <t>1050 euros</t>
  </si>
  <si>
    <t>Región</t>
  </si>
  <si>
    <t>Ventas Enero</t>
  </si>
  <si>
    <t>Ventas Febrero</t>
  </si>
  <si>
    <t>Ventas Marzo</t>
  </si>
  <si>
    <t>Ventas Abril</t>
  </si>
  <si>
    <t>Ventas Mayo</t>
  </si>
  <si>
    <t>Ventas Junio</t>
  </si>
  <si>
    <t>Ventas Julio</t>
  </si>
  <si>
    <t>Ventas Agosto</t>
  </si>
  <si>
    <t>Ventas Septiembre</t>
  </si>
  <si>
    <t>Ventas Octubre</t>
  </si>
  <si>
    <t>Ventas Noviembre</t>
  </si>
  <si>
    <t>Ventas Diciembre</t>
  </si>
  <si>
    <t>Oeste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</si>
</sst>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€&quot;;[Red]\-#,##0\ &quot;€&quot;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8"/>
      <color theme="3"/>
      <name val="Cambria"/>
      <family val="1"/>
      <scheme val="major"/>
    </font>
    <font>
      <i/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3" borderId="0" xfId="0" applyFont="1" applyFill="1"/>
    <xf numFmtId="0" fontId="1" fillId="4" borderId="0" xfId="0" applyFont="1" applyFill="1"/>
    <xf numFmtId="0" fontId="3" fillId="0" borderId="0" xfId="1" applyFont="1" applyFill="1" applyBorder="1"/>
    <xf numFmtId="0" fontId="4" fillId="0" borderId="0" xfId="0" applyFont="1"/>
    <xf numFmtId="0" fontId="1" fillId="0" borderId="0" xfId="0" applyFont="1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64" fontId="1" fillId="3" borderId="0" xfId="0" applyNumberFormat="1" applyFont="1" applyFill="1"/>
    <xf numFmtId="0" fontId="5" fillId="5" borderId="0" xfId="0" applyFont="1" applyFill="1" applyAlignment="1">
      <alignment horizontal="center" vertical="top"/>
    </xf>
    <xf numFmtId="0" fontId="0" fillId="5" borderId="0" xfId="0" applyFill="1"/>
  </cellXfs>
  <cellStyles count="2">
    <cellStyle name="Normal" xfId="0" builtinId="0"/>
    <cellStyle name="Título" xfId="1" builtin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workbookViewId="0">
      <selection activeCell="I1" sqref="I1"/>
    </sheetView>
  </sheetViews>
  <sheetFormatPr baseColWidth="10" defaultColWidth="8.85546875" defaultRowHeight="15" x14ac:dyDescent="0.25"/>
  <cols>
    <col min="1" max="1" width="17.5703125" bestFit="1" customWidth="1"/>
    <col min="2" max="2" width="13" bestFit="1" customWidth="1"/>
    <col min="3" max="3" width="19.28515625" bestFit="1" customWidth="1"/>
    <col min="4" max="11" width="14.28515625" bestFit="1" customWidth="1"/>
    <col min="12" max="12" width="15.7109375" bestFit="1" customWidth="1"/>
    <col min="13" max="13" width="14.28515625" bestFit="1" customWidth="1"/>
    <col min="14" max="14" width="15.28515625" bestFit="1" customWidth="1"/>
    <col min="15" max="15" width="14.42578125" bestFit="1" customWidth="1"/>
    <col min="16" max="16" width="15.28515625" bestFit="1" customWidth="1"/>
    <col min="17" max="17" width="11.28515625" bestFit="1" customWidth="1"/>
  </cols>
  <sheetData>
    <row r="1" spans="1:16" ht="22.5" x14ac:dyDescent="0.3">
      <c r="A1" s="3" t="s">
        <v>41</v>
      </c>
    </row>
    <row r="2" spans="1:16" x14ac:dyDescent="0.25">
      <c r="A2" t="s">
        <v>42</v>
      </c>
    </row>
    <row r="3" spans="1:16" x14ac:dyDescent="0.25">
      <c r="A3" s="4" t="s">
        <v>43</v>
      </c>
    </row>
    <row r="4" spans="1:16" s="7" customFormat="1" x14ac:dyDescent="0.25">
      <c r="A4" s="6" t="s">
        <v>0</v>
      </c>
      <c r="B4" s="6" t="s">
        <v>1</v>
      </c>
      <c r="C4" s="6" t="s">
        <v>2</v>
      </c>
      <c r="D4" s="6" t="s">
        <v>57</v>
      </c>
      <c r="E4" s="6" t="s">
        <v>58</v>
      </c>
      <c r="F4" s="6" t="s">
        <v>59</v>
      </c>
      <c r="G4" s="6" t="s">
        <v>60</v>
      </c>
      <c r="H4" s="6" t="s">
        <v>61</v>
      </c>
      <c r="I4" s="6" t="s">
        <v>62</v>
      </c>
      <c r="J4" s="6" t="s">
        <v>63</v>
      </c>
      <c r="K4" s="6" t="s">
        <v>64</v>
      </c>
      <c r="L4" s="6" t="s">
        <v>65</v>
      </c>
      <c r="M4" s="6" t="s">
        <v>66</v>
      </c>
      <c r="N4" s="6" t="s">
        <v>67</v>
      </c>
      <c r="O4" s="6" t="s">
        <v>68</v>
      </c>
      <c r="P4" s="6" t="s">
        <v>40</v>
      </c>
    </row>
    <row r="5" spans="1:16" x14ac:dyDescent="0.25">
      <c r="A5" t="s">
        <v>3</v>
      </c>
      <c r="B5" t="s">
        <v>10</v>
      </c>
      <c r="C5" t="s">
        <v>25</v>
      </c>
      <c r="D5">
        <v>1131</v>
      </c>
      <c r="E5">
        <v>2635</v>
      </c>
      <c r="F5">
        <v>2124</v>
      </c>
      <c r="G5">
        <v>2179</v>
      </c>
      <c r="H5">
        <v>2637</v>
      </c>
      <c r="I5">
        <v>3279</v>
      </c>
      <c r="J5">
        <v>2218</v>
      </c>
      <c r="K5">
        <v>3287</v>
      </c>
      <c r="L5">
        <v>3023</v>
      </c>
      <c r="M5">
        <v>2873</v>
      </c>
      <c r="N5">
        <v>2885</v>
      </c>
      <c r="O5" t="s">
        <v>69</v>
      </c>
      <c r="P5">
        <f>SUM(D5:O5)</f>
        <v>28271</v>
      </c>
    </row>
    <row r="6" spans="1:16" x14ac:dyDescent="0.25">
      <c r="A6" t="s">
        <v>3</v>
      </c>
      <c r="B6" t="s">
        <v>11</v>
      </c>
      <c r="C6" t="s">
        <v>26</v>
      </c>
      <c r="D6">
        <v>500</v>
      </c>
      <c r="E6">
        <v>650</v>
      </c>
      <c r="F6">
        <v>700</v>
      </c>
      <c r="G6">
        <v>750</v>
      </c>
      <c r="H6">
        <v>800</v>
      </c>
      <c r="I6">
        <v>850</v>
      </c>
      <c r="J6">
        <v>900</v>
      </c>
      <c r="K6">
        <v>950</v>
      </c>
      <c r="L6">
        <v>1000</v>
      </c>
      <c r="M6">
        <v>1050</v>
      </c>
      <c r="N6">
        <v>1100</v>
      </c>
      <c r="O6" t="s">
        <v>70</v>
      </c>
      <c r="P6">
        <f t="shared" ref="P6:P9" si="0">SUM(D6:O6)</f>
        <v>9250</v>
      </c>
    </row>
    <row r="7" spans="1:16" x14ac:dyDescent="0.25">
      <c r="A7" t="s">
        <v>3</v>
      </c>
      <c r="B7" t="s">
        <v>12</v>
      </c>
      <c r="C7" t="s">
        <v>27</v>
      </c>
      <c r="D7">
        <v>1700</v>
      </c>
      <c r="E7">
        <v>2300</v>
      </c>
      <c r="F7">
        <v>3200</v>
      </c>
      <c r="G7">
        <v>3700</v>
      </c>
      <c r="H7">
        <v>4200</v>
      </c>
      <c r="I7">
        <v>4700</v>
      </c>
      <c r="J7">
        <v>5200</v>
      </c>
      <c r="K7">
        <v>5700</v>
      </c>
      <c r="L7">
        <v>6200</v>
      </c>
      <c r="M7">
        <v>6700</v>
      </c>
      <c r="N7">
        <v>7200</v>
      </c>
      <c r="O7" t="s">
        <v>71</v>
      </c>
      <c r="P7">
        <f t="shared" si="0"/>
        <v>50800</v>
      </c>
    </row>
    <row r="8" spans="1:16" x14ac:dyDescent="0.25">
      <c r="A8" t="s">
        <v>3</v>
      </c>
      <c r="B8" t="s">
        <v>13</v>
      </c>
      <c r="C8" t="s">
        <v>28</v>
      </c>
      <c r="D8">
        <v>500</v>
      </c>
      <c r="E8">
        <v>800</v>
      </c>
      <c r="F8">
        <v>900</v>
      </c>
      <c r="G8">
        <v>1000</v>
      </c>
      <c r="H8">
        <v>1100</v>
      </c>
      <c r="I8">
        <v>1200</v>
      </c>
      <c r="J8">
        <v>1300</v>
      </c>
      <c r="K8">
        <v>1400</v>
      </c>
      <c r="L8">
        <v>1500</v>
      </c>
      <c r="M8">
        <v>1600</v>
      </c>
      <c r="N8">
        <v>1700</v>
      </c>
      <c r="O8" t="s">
        <v>72</v>
      </c>
      <c r="P8">
        <f t="shared" si="0"/>
        <v>13000</v>
      </c>
    </row>
    <row r="9" spans="1:16" x14ac:dyDescent="0.25">
      <c r="A9" t="s">
        <v>3</v>
      </c>
      <c r="B9" t="s">
        <v>14</v>
      </c>
      <c r="C9" t="s">
        <v>29</v>
      </c>
      <c r="D9">
        <v>300</v>
      </c>
      <c r="E9">
        <v>400</v>
      </c>
      <c r="F9">
        <v>450</v>
      </c>
      <c r="G9">
        <v>500</v>
      </c>
      <c r="H9">
        <v>550</v>
      </c>
      <c r="I9">
        <v>600</v>
      </c>
      <c r="J9">
        <v>650</v>
      </c>
      <c r="K9">
        <v>700</v>
      </c>
      <c r="L9">
        <v>750</v>
      </c>
      <c r="M9">
        <v>800</v>
      </c>
      <c r="N9">
        <v>850</v>
      </c>
      <c r="O9" t="s">
        <v>73</v>
      </c>
      <c r="P9">
        <f t="shared" si="0"/>
        <v>6550</v>
      </c>
    </row>
    <row r="10" spans="1:16" s="1" customFormat="1" x14ac:dyDescent="0.25">
      <c r="A10" s="1" t="s">
        <v>4</v>
      </c>
      <c r="D10" s="8">
        <v>4131</v>
      </c>
      <c r="E10" s="8">
        <v>6785</v>
      </c>
      <c r="F10" s="8">
        <v>7374</v>
      </c>
      <c r="G10" s="8">
        <v>8129</v>
      </c>
      <c r="H10" s="8">
        <v>9287</v>
      </c>
      <c r="I10" s="8">
        <v>10629</v>
      </c>
      <c r="J10" s="8">
        <v>10268</v>
      </c>
      <c r="K10" s="8">
        <v>12037</v>
      </c>
      <c r="L10" s="8">
        <v>12473</v>
      </c>
      <c r="M10" s="8">
        <v>13023</v>
      </c>
      <c r="N10" s="8">
        <v>13735</v>
      </c>
      <c r="O10" s="8">
        <v>15101</v>
      </c>
      <c r="P10" s="8">
        <v>122972</v>
      </c>
    </row>
    <row r="11" spans="1:16" s="5" customFormat="1" x14ac:dyDescent="0.25"/>
    <row r="12" spans="1:16" s="5" customFormat="1" x14ac:dyDescent="0.25"/>
    <row r="13" spans="1:16" x14ac:dyDescent="0.25">
      <c r="A13" t="s">
        <v>5</v>
      </c>
      <c r="B13" t="s">
        <v>15</v>
      </c>
      <c r="C13" t="s">
        <v>30</v>
      </c>
      <c r="D13">
        <v>370105</v>
      </c>
      <c r="E13">
        <v>326786</v>
      </c>
      <c r="F13">
        <v>381793</v>
      </c>
      <c r="G13">
        <v>435523</v>
      </c>
      <c r="H13">
        <v>512804</v>
      </c>
      <c r="I13">
        <v>558232</v>
      </c>
      <c r="J13">
        <v>600000</v>
      </c>
      <c r="K13">
        <v>655123</v>
      </c>
      <c r="L13">
        <v>708650</v>
      </c>
      <c r="M13">
        <v>762505</v>
      </c>
      <c r="N13">
        <v>802631</v>
      </c>
      <c r="O13" t="s">
        <v>74</v>
      </c>
      <c r="P13">
        <f>SUM(D13:O13)</f>
        <v>6114152</v>
      </c>
    </row>
    <row r="14" spans="1:16" x14ac:dyDescent="0.25">
      <c r="A14" t="s">
        <v>5</v>
      </c>
      <c r="B14" t="s">
        <v>16</v>
      </c>
      <c r="C14" t="s">
        <v>31</v>
      </c>
      <c r="D14">
        <v>346295</v>
      </c>
      <c r="E14">
        <v>289524</v>
      </c>
      <c r="F14">
        <v>309415</v>
      </c>
      <c r="G14">
        <v>325481</v>
      </c>
      <c r="H14">
        <v>354623</v>
      </c>
      <c r="I14">
        <v>380623</v>
      </c>
      <c r="J14">
        <v>403450</v>
      </c>
      <c r="K14">
        <v>425781</v>
      </c>
      <c r="L14">
        <v>447450</v>
      </c>
      <c r="M14">
        <v>471800</v>
      </c>
      <c r="N14">
        <v>488800</v>
      </c>
      <c r="O14" t="s">
        <v>75</v>
      </c>
      <c r="P14">
        <f t="shared" ref="P14:P17" si="1">SUM(D14:O14)</f>
        <v>4243242</v>
      </c>
    </row>
    <row r="15" spans="1:16" x14ac:dyDescent="0.25">
      <c r="A15" t="s">
        <v>5</v>
      </c>
      <c r="B15" t="s">
        <v>17</v>
      </c>
      <c r="C15" t="s">
        <v>32</v>
      </c>
      <c r="D15">
        <v>133631</v>
      </c>
      <c r="E15">
        <v>165941</v>
      </c>
      <c r="F15">
        <v>171251</v>
      </c>
      <c r="G15">
        <v>182451</v>
      </c>
      <c r="H15">
        <v>197451</v>
      </c>
      <c r="I15">
        <v>207451</v>
      </c>
      <c r="J15">
        <v>217451</v>
      </c>
      <c r="K15">
        <v>227451</v>
      </c>
      <c r="L15">
        <v>237451</v>
      </c>
      <c r="M15">
        <v>247451</v>
      </c>
      <c r="N15">
        <v>257451</v>
      </c>
      <c r="O15" t="s">
        <v>76</v>
      </c>
      <c r="P15">
        <f t="shared" si="1"/>
        <v>2245431</v>
      </c>
    </row>
    <row r="16" spans="1:16" x14ac:dyDescent="0.25">
      <c r="A16" t="s">
        <v>5</v>
      </c>
      <c r="B16" t="s">
        <v>18</v>
      </c>
      <c r="C16" t="s">
        <v>33</v>
      </c>
      <c r="D16">
        <v>88050</v>
      </c>
      <c r="E16">
        <v>100050</v>
      </c>
      <c r="F16">
        <v>110150</v>
      </c>
      <c r="G16">
        <v>120250</v>
      </c>
      <c r="H16">
        <v>130350</v>
      </c>
      <c r="I16">
        <v>140450</v>
      </c>
      <c r="J16">
        <v>150550</v>
      </c>
      <c r="K16">
        <v>160650</v>
      </c>
      <c r="L16">
        <v>170750</v>
      </c>
      <c r="M16">
        <v>180850</v>
      </c>
      <c r="N16">
        <v>190950</v>
      </c>
      <c r="O16" t="s">
        <v>77</v>
      </c>
      <c r="P16">
        <f t="shared" si="1"/>
        <v>1543050</v>
      </c>
    </row>
    <row r="17" spans="1:16" x14ac:dyDescent="0.25">
      <c r="A17" t="s">
        <v>5</v>
      </c>
      <c r="B17" t="s">
        <v>19</v>
      </c>
      <c r="C17" t="s">
        <v>34</v>
      </c>
      <c r="D17">
        <v>131005</v>
      </c>
      <c r="E17">
        <v>141010</v>
      </c>
      <c r="F17">
        <v>151020</v>
      </c>
      <c r="G17">
        <v>161030</v>
      </c>
      <c r="H17">
        <v>171040</v>
      </c>
      <c r="I17">
        <v>181050</v>
      </c>
      <c r="J17">
        <v>191060</v>
      </c>
      <c r="K17">
        <v>201070</v>
      </c>
      <c r="L17">
        <v>211080</v>
      </c>
      <c r="M17">
        <v>221090</v>
      </c>
      <c r="N17">
        <v>231100</v>
      </c>
      <c r="O17" t="s">
        <v>78</v>
      </c>
      <c r="P17">
        <f t="shared" si="1"/>
        <v>1991555</v>
      </c>
    </row>
    <row r="18" spans="1:16" s="1" customFormat="1" x14ac:dyDescent="0.25">
      <c r="A18" s="1" t="s">
        <v>6</v>
      </c>
      <c r="D18" s="8">
        <v>1069086</v>
      </c>
      <c r="E18" s="8">
        <v>1023311</v>
      </c>
      <c r="F18" s="8">
        <v>1123629</v>
      </c>
      <c r="G18" s="8">
        <v>1224735</v>
      </c>
      <c r="H18" s="8">
        <v>1366268</v>
      </c>
      <c r="I18" s="8">
        <v>1467806</v>
      </c>
      <c r="J18" s="8">
        <v>1562511</v>
      </c>
      <c r="K18" s="8">
        <v>1670075</v>
      </c>
      <c r="L18" s="8">
        <v>1775381</v>
      </c>
      <c r="M18" s="8">
        <v>1883696</v>
      </c>
      <c r="N18" s="8">
        <v>1970932</v>
      </c>
      <c r="O18" s="8">
        <v>2090954</v>
      </c>
      <c r="P18" s="8">
        <v>18228384</v>
      </c>
    </row>
    <row r="19" spans="1:16" s="5" customFormat="1" x14ac:dyDescent="0.25"/>
    <row r="20" spans="1:16" s="5" customFormat="1" x14ac:dyDescent="0.25"/>
    <row r="21" spans="1:16" x14ac:dyDescent="0.25">
      <c r="A21" t="s">
        <v>7</v>
      </c>
      <c r="B21" t="s">
        <v>20</v>
      </c>
      <c r="C21" t="s">
        <v>35</v>
      </c>
      <c r="D21">
        <v>758</v>
      </c>
      <c r="E21">
        <v>807</v>
      </c>
      <c r="F21">
        <v>858</v>
      </c>
      <c r="G21">
        <v>912</v>
      </c>
      <c r="H21">
        <v>971</v>
      </c>
      <c r="I21">
        <v>1030</v>
      </c>
      <c r="J21">
        <v>1091</v>
      </c>
      <c r="K21">
        <v>1152</v>
      </c>
      <c r="L21">
        <v>1210</v>
      </c>
      <c r="M21">
        <v>1275</v>
      </c>
      <c r="N21">
        <v>1335</v>
      </c>
      <c r="O21" t="s">
        <v>79</v>
      </c>
      <c r="P21">
        <f>SUM(D21:O21)</f>
        <v>11399</v>
      </c>
    </row>
    <row r="22" spans="1:16" x14ac:dyDescent="0.25">
      <c r="A22" t="s">
        <v>7</v>
      </c>
      <c r="B22" t="s">
        <v>21</v>
      </c>
      <c r="C22" t="s">
        <v>36</v>
      </c>
      <c r="D22">
        <v>421</v>
      </c>
      <c r="E22">
        <v>600</v>
      </c>
      <c r="F22">
        <v>650</v>
      </c>
      <c r="G22">
        <v>700</v>
      </c>
      <c r="H22">
        <v>750</v>
      </c>
      <c r="I22">
        <v>800</v>
      </c>
      <c r="J22">
        <v>850</v>
      </c>
      <c r="K22">
        <v>900</v>
      </c>
      <c r="L22">
        <v>950</v>
      </c>
      <c r="M22">
        <v>1000</v>
      </c>
      <c r="N22">
        <v>1050</v>
      </c>
      <c r="O22" t="s">
        <v>80</v>
      </c>
      <c r="P22">
        <f t="shared" ref="P22:P25" si="2">SUM(D22:O22)</f>
        <v>8671</v>
      </c>
    </row>
    <row r="23" spans="1:16" x14ac:dyDescent="0.25">
      <c r="A23" t="s">
        <v>7</v>
      </c>
      <c r="B23" t="s">
        <v>22</v>
      </c>
      <c r="C23" t="s">
        <v>37</v>
      </c>
      <c r="D23">
        <v>598</v>
      </c>
      <c r="E23">
        <v>700</v>
      </c>
      <c r="F23">
        <v>750</v>
      </c>
      <c r="G23">
        <v>800</v>
      </c>
      <c r="H23">
        <v>850</v>
      </c>
      <c r="I23">
        <v>900</v>
      </c>
      <c r="J23">
        <v>950</v>
      </c>
      <c r="K23">
        <v>1000</v>
      </c>
      <c r="L23">
        <v>1050</v>
      </c>
      <c r="M23">
        <v>1100</v>
      </c>
      <c r="N23">
        <v>1150</v>
      </c>
      <c r="O23" t="s">
        <v>81</v>
      </c>
      <c r="P23">
        <f t="shared" si="2"/>
        <v>9848</v>
      </c>
    </row>
    <row r="24" spans="1:16" x14ac:dyDescent="0.25">
      <c r="A24" t="s">
        <v>7</v>
      </c>
      <c r="B24" t="s">
        <v>23</v>
      </c>
      <c r="C24" t="s">
        <v>38</v>
      </c>
      <c r="D24">
        <v>300</v>
      </c>
      <c r="E24">
        <v>350</v>
      </c>
      <c r="F24">
        <v>400</v>
      </c>
      <c r="G24">
        <v>450</v>
      </c>
      <c r="H24">
        <v>500</v>
      </c>
      <c r="I24">
        <v>550</v>
      </c>
      <c r="J24">
        <v>600</v>
      </c>
      <c r="K24">
        <v>650</v>
      </c>
      <c r="L24">
        <v>700</v>
      </c>
      <c r="M24">
        <v>750</v>
      </c>
      <c r="N24">
        <v>800</v>
      </c>
      <c r="O24" t="s">
        <v>82</v>
      </c>
      <c r="P24">
        <f t="shared" si="2"/>
        <v>6050</v>
      </c>
    </row>
    <row r="25" spans="1:16" x14ac:dyDescent="0.25">
      <c r="A25" t="s">
        <v>7</v>
      </c>
      <c r="B25" t="s">
        <v>24</v>
      </c>
      <c r="C25" t="s">
        <v>39</v>
      </c>
      <c r="D25">
        <v>479</v>
      </c>
      <c r="E25">
        <v>530</v>
      </c>
      <c r="F25">
        <v>600</v>
      </c>
      <c r="G25">
        <v>650</v>
      </c>
      <c r="H25">
        <v>700</v>
      </c>
      <c r="I25">
        <v>750</v>
      </c>
      <c r="J25">
        <v>800</v>
      </c>
      <c r="K25">
        <v>850</v>
      </c>
      <c r="L25">
        <v>900</v>
      </c>
      <c r="M25">
        <v>950</v>
      </c>
      <c r="N25">
        <v>1000</v>
      </c>
      <c r="O25" t="s">
        <v>83</v>
      </c>
      <c r="P25">
        <f t="shared" si="2"/>
        <v>8209</v>
      </c>
    </row>
    <row r="26" spans="1:16" s="1" customFormat="1" x14ac:dyDescent="0.25">
      <c r="A26" s="1" t="s">
        <v>8</v>
      </c>
      <c r="D26" s="8">
        <v>2556</v>
      </c>
      <c r="E26" s="8">
        <v>2987</v>
      </c>
      <c r="F26" s="8">
        <v>3258</v>
      </c>
      <c r="G26" s="8">
        <v>3512</v>
      </c>
      <c r="H26" s="8">
        <v>3771</v>
      </c>
      <c r="I26" s="8">
        <v>4030</v>
      </c>
      <c r="J26" s="8">
        <v>4291</v>
      </c>
      <c r="K26" s="8">
        <v>4552</v>
      </c>
      <c r="L26" s="8">
        <v>4810</v>
      </c>
      <c r="M26" s="8">
        <v>5075</v>
      </c>
      <c r="N26" s="8">
        <v>5335</v>
      </c>
      <c r="O26" s="8">
        <v>5591</v>
      </c>
      <c r="P26" s="8">
        <v>49768</v>
      </c>
    </row>
    <row r="27" spans="1:16" s="5" customFormat="1" x14ac:dyDescent="0.25"/>
    <row r="28" spans="1:16" s="5" customFormat="1" x14ac:dyDescent="0.25"/>
    <row r="29" spans="1:16" s="2" customFormat="1" x14ac:dyDescent="0.25">
      <c r="A29" s="2" t="s">
        <v>9</v>
      </c>
      <c r="D29" s="2" t="s">
        <v>44</v>
      </c>
      <c r="E29" s="2" t="s">
        <v>45</v>
      </c>
      <c r="F29" s="2" t="s">
        <v>46</v>
      </c>
      <c r="G29" s="2" t="s">
        <v>47</v>
      </c>
      <c r="H29" s="2" t="s">
        <v>48</v>
      </c>
      <c r="I29" s="2" t="s">
        <v>49</v>
      </c>
      <c r="J29" s="2" t="s">
        <v>50</v>
      </c>
      <c r="K29" s="2" t="s">
        <v>51</v>
      </c>
      <c r="L29" s="2" t="s">
        <v>52</v>
      </c>
      <c r="M29" s="2" t="s">
        <v>53</v>
      </c>
      <c r="N29" s="2" t="s">
        <v>54</v>
      </c>
      <c r="O29" s="2" t="s">
        <v>55</v>
      </c>
      <c r="P29" s="2" t="s">
        <v>56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C42A6-C4AB-469F-B0A5-81827A2A0CF2}">
  <dimension ref="A1:N16"/>
  <sheetViews>
    <sheetView workbookViewId="0">
      <selection activeCell="C2" sqref="C2:C16"/>
    </sheetView>
  </sheetViews>
  <sheetFormatPr baseColWidth="10" defaultRowHeight="15" x14ac:dyDescent="0.25"/>
  <cols>
    <col min="1" max="1" width="19.28515625" bestFit="1" customWidth="1"/>
    <col min="2" max="2" width="8.7109375" bestFit="1" customWidth="1"/>
    <col min="3" max="3" width="12.140625" bestFit="1" customWidth="1"/>
    <col min="4" max="4" width="13.7109375" bestFit="1" customWidth="1"/>
    <col min="5" max="5" width="12.5703125" bestFit="1" customWidth="1"/>
    <col min="6" max="6" width="11.140625" bestFit="1" customWidth="1"/>
    <col min="7" max="7" width="12.140625" bestFit="1" customWidth="1"/>
    <col min="8" max="8" width="11.7109375" bestFit="1" customWidth="1"/>
    <col min="9" max="9" width="11" bestFit="1" customWidth="1"/>
    <col min="10" max="10" width="13.140625" bestFit="1" customWidth="1"/>
    <col min="11" max="11" width="17" bestFit="1" customWidth="1"/>
    <col min="12" max="12" width="14" bestFit="1" customWidth="1"/>
    <col min="13" max="13" width="16.7109375" bestFit="1" customWidth="1"/>
    <col min="14" max="14" width="15.7109375" bestFit="1" customWidth="1"/>
  </cols>
  <sheetData>
    <row r="1" spans="1:14" s="10" customFormat="1" x14ac:dyDescent="0.25">
      <c r="A1" s="9" t="s">
        <v>2</v>
      </c>
      <c r="B1" s="9" t="s">
        <v>84</v>
      </c>
      <c r="C1" s="9" t="s">
        <v>85</v>
      </c>
      <c r="D1" s="9" t="s">
        <v>86</v>
      </c>
      <c r="E1" s="9" t="s">
        <v>87</v>
      </c>
      <c r="F1" s="9" t="s">
        <v>88</v>
      </c>
      <c r="G1" s="9" t="s">
        <v>89</v>
      </c>
      <c r="H1" s="9" t="s">
        <v>90</v>
      </c>
      <c r="I1" s="9" t="s">
        <v>91</v>
      </c>
      <c r="J1" s="9" t="s">
        <v>92</v>
      </c>
      <c r="K1" s="9" t="s">
        <v>93</v>
      </c>
      <c r="L1" s="9" t="s">
        <v>94</v>
      </c>
      <c r="M1" s="9" t="s">
        <v>95</v>
      </c>
      <c r="N1" s="9" t="s">
        <v>96</v>
      </c>
    </row>
    <row r="2" spans="1:14" x14ac:dyDescent="0.25">
      <c r="A2" t="s">
        <v>25</v>
      </c>
      <c r="B2" t="s">
        <v>97</v>
      </c>
      <c r="C2">
        <v>29</v>
      </c>
      <c r="D2">
        <v>22</v>
      </c>
      <c r="E2">
        <v>31</v>
      </c>
      <c r="F2">
        <v>30</v>
      </c>
      <c r="G2">
        <v>30</v>
      </c>
      <c r="H2">
        <v>16</v>
      </c>
      <c r="I2">
        <v>29</v>
      </c>
      <c r="J2">
        <v>25</v>
      </c>
      <c r="K2">
        <v>28</v>
      </c>
      <c r="L2">
        <v>29</v>
      </c>
      <c r="M2">
        <v>13</v>
      </c>
      <c r="N2">
        <v>27</v>
      </c>
    </row>
    <row r="3" spans="1:14" x14ac:dyDescent="0.25">
      <c r="A3" t="s">
        <v>26</v>
      </c>
      <c r="B3" t="s">
        <v>97</v>
      </c>
      <c r="C3">
        <v>36</v>
      </c>
      <c r="D3">
        <v>27</v>
      </c>
      <c r="E3">
        <v>36</v>
      </c>
      <c r="F3">
        <v>22</v>
      </c>
      <c r="G3">
        <v>19</v>
      </c>
      <c r="H3">
        <v>12</v>
      </c>
      <c r="I3">
        <v>22</v>
      </c>
      <c r="J3">
        <v>22</v>
      </c>
      <c r="K3">
        <v>31</v>
      </c>
      <c r="L3">
        <v>26</v>
      </c>
      <c r="M3">
        <v>25</v>
      </c>
      <c r="N3">
        <v>26</v>
      </c>
    </row>
    <row r="4" spans="1:14" x14ac:dyDescent="0.25">
      <c r="A4" t="s">
        <v>27</v>
      </c>
      <c r="B4" t="s">
        <v>97</v>
      </c>
      <c r="C4">
        <v>26</v>
      </c>
      <c r="D4">
        <v>20</v>
      </c>
      <c r="E4">
        <v>13</v>
      </c>
      <c r="F4">
        <v>30</v>
      </c>
      <c r="G4">
        <v>30</v>
      </c>
      <c r="H4">
        <v>32</v>
      </c>
      <c r="I4">
        <v>19</v>
      </c>
      <c r="J4">
        <v>26</v>
      </c>
      <c r="K4">
        <v>12</v>
      </c>
      <c r="L4">
        <v>34</v>
      </c>
      <c r="M4">
        <v>16</v>
      </c>
      <c r="N4">
        <v>20</v>
      </c>
    </row>
    <row r="5" spans="1:14" x14ac:dyDescent="0.25">
      <c r="A5" t="s">
        <v>28</v>
      </c>
      <c r="B5" t="s">
        <v>97</v>
      </c>
      <c r="C5">
        <v>34</v>
      </c>
      <c r="D5">
        <v>12</v>
      </c>
      <c r="E5">
        <v>17</v>
      </c>
      <c r="F5">
        <v>26</v>
      </c>
      <c r="G5">
        <v>30</v>
      </c>
      <c r="H5">
        <v>14</v>
      </c>
      <c r="I5">
        <v>21</v>
      </c>
      <c r="J5">
        <v>30</v>
      </c>
      <c r="K5">
        <v>17</v>
      </c>
      <c r="L5">
        <v>31</v>
      </c>
      <c r="M5">
        <v>33</v>
      </c>
      <c r="N5">
        <v>32</v>
      </c>
    </row>
    <row r="6" spans="1:14" x14ac:dyDescent="0.25">
      <c r="A6" t="s">
        <v>29</v>
      </c>
      <c r="B6" t="s">
        <v>97</v>
      </c>
      <c r="C6">
        <v>26</v>
      </c>
      <c r="D6">
        <v>18</v>
      </c>
      <c r="E6">
        <v>14</v>
      </c>
      <c r="F6">
        <v>16</v>
      </c>
      <c r="G6">
        <v>31</v>
      </c>
      <c r="H6">
        <v>33</v>
      </c>
      <c r="I6">
        <v>31</v>
      </c>
      <c r="J6">
        <v>32</v>
      </c>
      <c r="K6">
        <v>25</v>
      </c>
      <c r="L6">
        <v>18</v>
      </c>
      <c r="M6">
        <v>29</v>
      </c>
      <c r="N6">
        <v>36</v>
      </c>
    </row>
    <row r="7" spans="1:14" x14ac:dyDescent="0.25">
      <c r="A7" t="s">
        <v>30</v>
      </c>
      <c r="B7" t="s">
        <v>97</v>
      </c>
      <c r="C7">
        <v>18</v>
      </c>
      <c r="D7">
        <v>31</v>
      </c>
      <c r="E7">
        <v>35</v>
      </c>
      <c r="F7">
        <v>17</v>
      </c>
      <c r="G7">
        <v>20</v>
      </c>
      <c r="H7">
        <v>33</v>
      </c>
      <c r="I7">
        <v>24</v>
      </c>
      <c r="J7">
        <v>14</v>
      </c>
      <c r="K7">
        <v>31</v>
      </c>
      <c r="L7">
        <v>26</v>
      </c>
      <c r="M7">
        <v>18</v>
      </c>
      <c r="N7">
        <v>20</v>
      </c>
    </row>
    <row r="8" spans="1:14" x14ac:dyDescent="0.25">
      <c r="A8" t="s">
        <v>31</v>
      </c>
      <c r="B8" t="s">
        <v>97</v>
      </c>
      <c r="C8">
        <v>33</v>
      </c>
      <c r="D8">
        <v>21</v>
      </c>
      <c r="E8">
        <v>26</v>
      </c>
      <c r="F8">
        <v>36</v>
      </c>
      <c r="G8">
        <v>34</v>
      </c>
      <c r="H8">
        <v>25</v>
      </c>
      <c r="I8">
        <v>18</v>
      </c>
      <c r="J8">
        <v>29</v>
      </c>
      <c r="K8">
        <v>22</v>
      </c>
      <c r="L8">
        <v>14</v>
      </c>
      <c r="M8">
        <v>14</v>
      </c>
      <c r="N8">
        <v>28</v>
      </c>
    </row>
    <row r="9" spans="1:14" x14ac:dyDescent="0.25">
      <c r="A9" t="s">
        <v>32</v>
      </c>
      <c r="B9" t="s">
        <v>97</v>
      </c>
      <c r="C9">
        <v>25</v>
      </c>
      <c r="D9">
        <v>26</v>
      </c>
      <c r="E9">
        <v>34</v>
      </c>
      <c r="F9">
        <v>37</v>
      </c>
      <c r="G9">
        <v>13</v>
      </c>
      <c r="H9">
        <v>21</v>
      </c>
      <c r="I9">
        <v>13</v>
      </c>
      <c r="J9">
        <v>34</v>
      </c>
      <c r="K9">
        <v>34</v>
      </c>
      <c r="L9">
        <v>34</v>
      </c>
      <c r="M9">
        <v>32</v>
      </c>
      <c r="N9">
        <v>25</v>
      </c>
    </row>
    <row r="10" spans="1:14" x14ac:dyDescent="0.25">
      <c r="A10" t="s">
        <v>33</v>
      </c>
      <c r="B10" t="s">
        <v>97</v>
      </c>
      <c r="C10">
        <v>15</v>
      </c>
      <c r="D10">
        <v>34</v>
      </c>
      <c r="E10">
        <v>22</v>
      </c>
      <c r="F10">
        <v>19</v>
      </c>
      <c r="G10">
        <v>32</v>
      </c>
      <c r="H10">
        <v>15</v>
      </c>
      <c r="I10">
        <v>13</v>
      </c>
      <c r="J10">
        <v>30</v>
      </c>
      <c r="K10">
        <v>32</v>
      </c>
      <c r="L10">
        <v>30</v>
      </c>
      <c r="M10">
        <v>26</v>
      </c>
      <c r="N10">
        <v>21</v>
      </c>
    </row>
    <row r="11" spans="1:14" x14ac:dyDescent="0.25">
      <c r="A11" t="s">
        <v>34</v>
      </c>
      <c r="B11" t="s">
        <v>97</v>
      </c>
      <c r="C11">
        <v>24</v>
      </c>
      <c r="D11">
        <v>20</v>
      </c>
      <c r="E11">
        <v>12</v>
      </c>
      <c r="F11">
        <v>34</v>
      </c>
      <c r="G11">
        <v>35</v>
      </c>
      <c r="H11">
        <v>28</v>
      </c>
      <c r="I11">
        <v>15</v>
      </c>
      <c r="J11">
        <v>37</v>
      </c>
      <c r="K11">
        <v>22</v>
      </c>
      <c r="L11">
        <v>24</v>
      </c>
      <c r="M11">
        <v>29</v>
      </c>
      <c r="N11">
        <v>24</v>
      </c>
    </row>
    <row r="12" spans="1:14" x14ac:dyDescent="0.25">
      <c r="A12" t="s">
        <v>35</v>
      </c>
      <c r="B12" t="s">
        <v>97</v>
      </c>
      <c r="C12">
        <v>32</v>
      </c>
      <c r="D12">
        <v>14</v>
      </c>
      <c r="E12">
        <v>22</v>
      </c>
      <c r="F12">
        <v>32</v>
      </c>
      <c r="G12">
        <v>17</v>
      </c>
      <c r="H12">
        <v>24</v>
      </c>
      <c r="I12">
        <v>17</v>
      </c>
      <c r="J12">
        <v>26</v>
      </c>
      <c r="K12">
        <v>17</v>
      </c>
      <c r="L12">
        <v>22</v>
      </c>
      <c r="M12">
        <v>26</v>
      </c>
      <c r="N12">
        <v>18</v>
      </c>
    </row>
    <row r="13" spans="1:14" x14ac:dyDescent="0.25">
      <c r="A13" t="s">
        <v>36</v>
      </c>
      <c r="B13" t="s">
        <v>97</v>
      </c>
      <c r="C13">
        <v>28</v>
      </c>
      <c r="D13">
        <v>21</v>
      </c>
      <c r="E13">
        <v>26</v>
      </c>
      <c r="F13">
        <v>19</v>
      </c>
      <c r="G13">
        <v>31</v>
      </c>
      <c r="H13">
        <v>14</v>
      </c>
      <c r="I13">
        <v>33</v>
      </c>
      <c r="J13">
        <v>36</v>
      </c>
      <c r="K13">
        <v>12</v>
      </c>
      <c r="L13">
        <v>18</v>
      </c>
      <c r="M13">
        <v>26</v>
      </c>
      <c r="N13">
        <v>17</v>
      </c>
    </row>
    <row r="14" spans="1:14" x14ac:dyDescent="0.25">
      <c r="A14" t="s">
        <v>37</v>
      </c>
      <c r="B14" t="s">
        <v>97</v>
      </c>
      <c r="C14">
        <v>13</v>
      </c>
      <c r="D14">
        <v>36</v>
      </c>
      <c r="E14">
        <v>15</v>
      </c>
      <c r="F14">
        <v>23</v>
      </c>
      <c r="G14">
        <v>17</v>
      </c>
      <c r="H14">
        <v>15</v>
      </c>
      <c r="I14">
        <v>31</v>
      </c>
      <c r="J14">
        <v>30</v>
      </c>
      <c r="K14">
        <v>33</v>
      </c>
      <c r="L14">
        <v>31</v>
      </c>
      <c r="M14">
        <v>36</v>
      </c>
      <c r="N14">
        <v>18</v>
      </c>
    </row>
    <row r="15" spans="1:14" x14ac:dyDescent="0.25">
      <c r="A15" t="s">
        <v>38</v>
      </c>
      <c r="B15" t="s">
        <v>97</v>
      </c>
      <c r="C15">
        <v>33</v>
      </c>
      <c r="D15">
        <v>23</v>
      </c>
      <c r="E15">
        <v>31</v>
      </c>
      <c r="F15">
        <v>24</v>
      </c>
      <c r="G15">
        <v>21</v>
      </c>
      <c r="H15">
        <v>24</v>
      </c>
      <c r="I15">
        <v>35</v>
      </c>
      <c r="J15">
        <v>27</v>
      </c>
      <c r="K15">
        <v>26</v>
      </c>
      <c r="L15">
        <v>28</v>
      </c>
      <c r="M15">
        <v>28</v>
      </c>
      <c r="N15">
        <v>22</v>
      </c>
    </row>
    <row r="16" spans="1:14" x14ac:dyDescent="0.25">
      <c r="A16" t="s">
        <v>39</v>
      </c>
      <c r="B16" t="s">
        <v>97</v>
      </c>
      <c r="C16">
        <v>16</v>
      </c>
      <c r="D16">
        <v>23</v>
      </c>
      <c r="E16">
        <v>33</v>
      </c>
      <c r="F16">
        <v>30</v>
      </c>
      <c r="G16">
        <v>24</v>
      </c>
      <c r="H16">
        <v>27</v>
      </c>
      <c r="I16">
        <v>13</v>
      </c>
      <c r="J16">
        <v>36</v>
      </c>
      <c r="K16">
        <v>34</v>
      </c>
      <c r="L16">
        <v>16</v>
      </c>
      <c r="M16">
        <v>32</v>
      </c>
      <c r="N16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Presupuesto</vt:lpstr>
      <vt:lpstr>Region_Oeste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Castillo</cp:lastModifiedBy>
  <dcterms:created xsi:type="dcterms:W3CDTF">2024-06-19T14:51:29Z</dcterms:created>
  <dcterms:modified xsi:type="dcterms:W3CDTF">2025-08-15T23:50:49Z</dcterms:modified>
</cp:coreProperties>
</file>